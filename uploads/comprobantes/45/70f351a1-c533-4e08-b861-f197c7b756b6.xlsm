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4 RESPALDO NOV2019\VBA PROGRAMS\Mecánica de Suelos\"/>
    </mc:Choice>
  </mc:AlternateContent>
  <xr:revisionPtr revIDLastSave="0" documentId="13_ncr:1_{C2155947-08E7-41CA-B3A8-913A3B0625C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Hoja2" sheetId="2" r:id="rId1"/>
    <sheet name="Hoja1" sheetId="1" r:id="rId2"/>
  </sheets>
  <functionGroups builtInGroupCount="19"/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" i="1" l="1"/>
  <c r="N12" i="1"/>
  <c r="B32" i="1"/>
  <c r="B33" i="1" s="1"/>
  <c r="H23" i="1" s="1"/>
</calcChain>
</file>

<file path=xl/sharedStrings.xml><?xml version="1.0" encoding="utf-8"?>
<sst xmlns="http://schemas.openxmlformats.org/spreadsheetml/2006/main" count="52" uniqueCount="45">
  <si>
    <t>Profundidad de Cimentación</t>
  </si>
  <si>
    <t>m</t>
  </si>
  <si>
    <t>Diametro del micropilote (D)</t>
  </si>
  <si>
    <t>kPa</t>
  </si>
  <si>
    <t>Ingrese número de estratos del perfil</t>
  </si>
  <si>
    <t>Estrato</t>
  </si>
  <si>
    <t>c</t>
  </si>
  <si>
    <t>kN/m3</t>
  </si>
  <si>
    <t>o</t>
  </si>
  <si>
    <t>Prof.</t>
  </si>
  <si>
    <r>
      <t>N*</t>
    </r>
    <r>
      <rPr>
        <vertAlign val="subscript"/>
        <sz val="11"/>
        <color theme="1"/>
        <rFont val="Calibri"/>
        <family val="2"/>
        <scheme val="minor"/>
      </rPr>
      <t>c</t>
    </r>
  </si>
  <si>
    <r>
      <t>K</t>
    </r>
    <r>
      <rPr>
        <vertAlign val="subscript"/>
        <sz val="11"/>
        <color theme="1"/>
        <rFont val="Calibri"/>
        <family val="2"/>
        <scheme val="minor"/>
      </rPr>
      <t>o</t>
    </r>
  </si>
  <si>
    <r>
      <t>Q</t>
    </r>
    <r>
      <rPr>
        <vertAlign val="subscript"/>
        <sz val="11"/>
        <color theme="1"/>
        <rFont val="Calibri"/>
        <family val="2"/>
        <scheme val="minor"/>
      </rPr>
      <t>p</t>
    </r>
  </si>
  <si>
    <t>kN</t>
  </si>
  <si>
    <t xml:space="preserve"> ʎ </t>
  </si>
  <si>
    <r>
      <t>f</t>
    </r>
    <r>
      <rPr>
        <vertAlign val="subscript"/>
        <sz val="11"/>
        <color theme="1"/>
        <rFont val="Calibri"/>
        <family val="2"/>
        <scheme val="minor"/>
      </rPr>
      <t>prom</t>
    </r>
  </si>
  <si>
    <r>
      <t>Q</t>
    </r>
    <r>
      <rPr>
        <vertAlign val="subscript"/>
        <sz val="11"/>
        <color theme="1"/>
        <rFont val="Calibri"/>
        <family val="2"/>
        <scheme val="minor"/>
      </rPr>
      <t>s</t>
    </r>
  </si>
  <si>
    <t>a. RESISITENCIA DE PUNTA (Método de Vesic)</t>
  </si>
  <si>
    <t>b. RESISTENCIA POR FRICCIÓN (Método   ʎ  )</t>
  </si>
  <si>
    <t>1. DATOS DEL MICROPILOTE</t>
  </si>
  <si>
    <t>2. PARAMETROS GEOTECNICOS - ESTRATIFICACIÓN</t>
  </si>
  <si>
    <t>3. CAPACIDAD DE CARGA ADMISIBLE</t>
  </si>
  <si>
    <r>
      <t>N*</t>
    </r>
    <r>
      <rPr>
        <vertAlign val="subscript"/>
        <sz val="11"/>
        <color theme="1"/>
        <rFont val="Calibri"/>
        <family val="2"/>
        <scheme val="minor"/>
      </rPr>
      <t>q</t>
    </r>
  </si>
  <si>
    <t>p</t>
  </si>
  <si>
    <t>c. CARGA ADMISIBLE</t>
  </si>
  <si>
    <t>Carga Ultima</t>
  </si>
  <si>
    <t>Carga Admisible</t>
  </si>
  <si>
    <t>4. NUMERO DE PILOTES</t>
  </si>
  <si>
    <t>d</t>
  </si>
  <si>
    <t>n1</t>
  </si>
  <si>
    <t>n2</t>
  </si>
  <si>
    <t>n</t>
  </si>
  <si>
    <t>%</t>
  </si>
  <si>
    <r>
      <t>Q</t>
    </r>
    <r>
      <rPr>
        <vertAlign val="subscript"/>
        <sz val="11"/>
        <color theme="1"/>
        <rFont val="Calibri"/>
        <family val="2"/>
        <scheme val="minor"/>
      </rPr>
      <t>estructura</t>
    </r>
  </si>
  <si>
    <t>d= distancia entre pilotes, n=eficiencia</t>
  </si>
  <si>
    <t>N</t>
  </si>
  <si>
    <t>D=diametro del pilote, N= número de pilotes</t>
  </si>
  <si>
    <r>
      <t>Q</t>
    </r>
    <r>
      <rPr>
        <vertAlign val="subscript"/>
        <sz val="11"/>
        <color theme="1"/>
        <rFont val="Calibri"/>
        <family val="2"/>
        <scheme val="minor"/>
      </rPr>
      <t>u</t>
    </r>
  </si>
  <si>
    <r>
      <t>Q</t>
    </r>
    <r>
      <rPr>
        <vertAlign val="subscript"/>
        <sz val="11"/>
        <color theme="1"/>
        <rFont val="Calibri"/>
        <family val="2"/>
        <scheme val="minor"/>
      </rPr>
      <t>adm</t>
    </r>
  </si>
  <si>
    <t>Existe Nivel Freático en m</t>
  </si>
  <si>
    <t>SI</t>
  </si>
  <si>
    <t>Etiquetas de fila</t>
  </si>
  <si>
    <t>Total general</t>
  </si>
  <si>
    <t>Existe Nivel Freático (m)</t>
  </si>
  <si>
    <t>CAPACIDAD DE CARGA - PILOTES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</si>
</sst>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0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9" xfId="0" applyBorder="1"/>
    <xf numFmtId="0" fontId="2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4" fillId="0" borderId="1" xfId="0" applyFont="1" applyBorder="1"/>
    <xf numFmtId="0" fontId="7" fillId="0" borderId="3" xfId="0" applyFont="1" applyBorder="1" applyAlignment="1">
      <alignment horizontal="left"/>
    </xf>
    <xf numFmtId="0" fontId="5" fillId="0" borderId="1" xfId="0" applyFont="1" applyBorder="1"/>
    <xf numFmtId="0" fontId="7" fillId="0" borderId="3" xfId="0" applyFont="1" applyBorder="1"/>
    <xf numFmtId="2" fontId="0" fillId="0" borderId="0" xfId="0" applyNumberFormat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2" borderId="0" xfId="0" applyFill="1"/>
    <xf numFmtId="0" fontId="4" fillId="0" borderId="2" xfId="0" applyFont="1" applyBorder="1"/>
    <xf numFmtId="0" fontId="4" fillId="0" borderId="0" xfId="0" applyFont="1"/>
    <xf numFmtId="0" fontId="0" fillId="3" borderId="1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4" fillId="0" borderId="11" xfId="0" applyFont="1" applyBorder="1"/>
    <xf numFmtId="0" fontId="8" fillId="0" borderId="4" xfId="0" applyFont="1" applyBorder="1"/>
    <xf numFmtId="0" fontId="9" fillId="0" borderId="0" xfId="0" applyFont="1"/>
    <xf numFmtId="0" fontId="8" fillId="0" borderId="6" xfId="0" applyFont="1" applyBorder="1"/>
    <xf numFmtId="0" fontId="0" fillId="2" borderId="20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7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164" fontId="0" fillId="0" borderId="7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171450</xdr:colOff>
      <xdr:row>9</xdr:row>
      <xdr:rowOff>185737</xdr:rowOff>
    </xdr:from>
    <xdr:ext cx="10977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685925" y="1709737"/>
              <a:ext cx="1097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</m:oMath>
                </m:oMathPara>
              </a14:m>
              <a:endParaRPr lang="es-EC" sz="110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1685925" y="1709737"/>
              <a:ext cx="1097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C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endParaRPr lang="es-EC" sz="1100"/>
            </a:p>
          </xdr:txBody>
        </xdr:sp>
      </mc:Fallback>
    </mc:AlternateContent>
    <xdr:clientData/>
  </xdr:oneCellAnchor>
  <xdr:oneCellAnchor>
    <xdr:from>
      <xdr:col>3</xdr:col>
      <xdr:colOff>219075</xdr:colOff>
      <xdr:row>10</xdr:row>
      <xdr:rowOff>23812</xdr:rowOff>
    </xdr:from>
    <xdr:ext cx="12041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38275" y="1738312"/>
              <a:ext cx="1204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∅</m:t>
                    </m:r>
                  </m:oMath>
                </m:oMathPara>
              </a14:m>
              <a:endParaRPr lang="es-EC" sz="110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1438275" y="1738312"/>
              <a:ext cx="1204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C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∅</a:t>
              </a:r>
              <a:endParaRPr lang="es-EC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9</xdr:row>
          <xdr:rowOff>0</xdr:rowOff>
        </xdr:from>
        <xdr:to>
          <xdr:col>6</xdr:col>
          <xdr:colOff>152400</xdr:colOff>
          <xdr:row>10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161925</xdr:colOff>
      <xdr:row>22</xdr:row>
      <xdr:rowOff>52387</xdr:rowOff>
    </xdr:from>
    <xdr:ext cx="27469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47800" y="4100512"/>
              <a:ext cx="27469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C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sSup>
                          <m:sSupPr>
                            <m:ctrlPr>
                              <a:rPr lang="es-EC" sz="11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EC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p>
                            <m:r>
                              <a:rPr lang="es-EC" sz="11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p>
                      </m:e>
                      <m:sub>
                        <m:r>
                          <a:rPr lang="es-EC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sub>
                    </m:sSub>
                  </m:oMath>
                </m:oMathPara>
              </a14:m>
              <a:endParaRPr lang="es-EC" sz="110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1447800" y="4100512"/>
              <a:ext cx="27469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C" sz="1100" i="0">
                  <a:latin typeface="Cambria Math" panose="02040503050406030204" pitchFamily="18" charset="0"/>
                </a:rPr>
                <a:t>〖</a:t>
              </a:r>
              <a:r>
                <a:rPr lang="es-EC" sz="1100" b="0" i="0">
                  <a:latin typeface="Cambria Math" panose="02040503050406030204" pitchFamily="18" charset="0"/>
                </a:rPr>
                <a:t>𝑁^∗〗_</a:t>
              </a:r>
              <a:r>
                <a:rPr lang="es-EC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s-EC" sz="1100"/>
            </a:p>
          </xdr:txBody>
        </xdr:sp>
      </mc:Fallback>
    </mc:AlternateContent>
    <xdr:clientData/>
  </xdr:oneCellAnchor>
  <xdr:oneCellAnchor>
    <xdr:from>
      <xdr:col>2</xdr:col>
      <xdr:colOff>152400</xdr:colOff>
      <xdr:row>23</xdr:row>
      <xdr:rowOff>33337</xdr:rowOff>
    </xdr:from>
    <xdr:ext cx="2195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438275" y="4310062"/>
              <a:ext cx="219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EC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C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  <m:r>
                          <a:rPr lang="es-EC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′</m:t>
                        </m:r>
                      </m:e>
                      <m:sub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</m:oMath>
                </m:oMathPara>
              </a14:m>
              <a:endParaRPr lang="es-EC" sz="110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1438275" y="4310062"/>
              <a:ext cx="219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C" sz="1100" i="0">
                  <a:latin typeface="Cambria Math" panose="02040503050406030204" pitchFamily="18" charset="0"/>
                </a:rPr>
                <a:t>〖</a:t>
              </a:r>
              <a:r>
                <a:rPr lang="es-EC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r>
                <a:rPr lang="es-EC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′〗_</a:t>
              </a:r>
              <a:r>
                <a:rPr lang="es-EC" sz="1100" b="0" i="0">
                  <a:latin typeface="Cambria Math" panose="02040503050406030204" pitchFamily="18" charset="0"/>
                </a:rPr>
                <a:t>𝑜</a:t>
              </a:r>
              <a:endParaRPr lang="es-EC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15</xdr:row>
          <xdr:rowOff>68580</xdr:rowOff>
        </xdr:from>
        <xdr:to>
          <xdr:col>6</xdr:col>
          <xdr:colOff>259080</xdr:colOff>
          <xdr:row>16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DISEÑO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285750</xdr:colOff>
      <xdr:row>2</xdr:row>
      <xdr:rowOff>171450</xdr:rowOff>
    </xdr:from>
    <xdr:to>
      <xdr:col>11</xdr:col>
      <xdr:colOff>572054</xdr:colOff>
      <xdr:row>18</xdr:row>
      <xdr:rowOff>129540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3240" t="30734" r="25758" b="21617"/>
        <a:stretch/>
      </xdr:blipFill>
      <xdr:spPr>
        <a:xfrm>
          <a:off x="4038600" y="552450"/>
          <a:ext cx="4096304" cy="31146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9</xdr:col>
      <xdr:colOff>85725</xdr:colOff>
      <xdr:row>20</xdr:row>
      <xdr:rowOff>104775</xdr:rowOff>
    </xdr:from>
    <xdr:to>
      <xdr:col>11</xdr:col>
      <xdr:colOff>542429</xdr:colOff>
      <xdr:row>28</xdr:row>
      <xdr:rowOff>152400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9871" t="33728" r="38939" b="18740"/>
        <a:stretch/>
      </xdr:blipFill>
      <xdr:spPr>
        <a:xfrm>
          <a:off x="6124575" y="3962400"/>
          <a:ext cx="1978799" cy="17526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8</xdr:row>
          <xdr:rowOff>7620</xdr:rowOff>
        </xdr:from>
        <xdr:to>
          <xdr:col>3</xdr:col>
          <xdr:colOff>552450</xdr:colOff>
          <xdr:row>9</xdr:row>
          <xdr:rowOff>0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isson" refreshedDate="41938.425886574078" createdVersion="5" refreshedVersion="5" minRefreshableVersion="3" recordCount="8" xr:uid="{00000000-000A-0000-FFFF-FFFF00000000}">
  <cacheSource type="worksheet">
    <worksheetSource ref="A8:A16" sheet="Hoja1"/>
  </cacheSource>
  <cacheFields count="1">
    <cacheField name="2. PARAMETROS GEOTECNICOS - ESTRATIFICACIÓN" numFmtId="0">
      <sharedItems containsBlank="1" containsMixedTypes="1" containsNumber="1" containsInteger="1" minValue="1" maxValue="4" count="8">
        <s v="Existe Nivel Freático en m"/>
        <s v="Ingrese número de estratos del perfil"/>
        <s v="Estrato"/>
        <m/>
        <n v="1"/>
        <n v="2"/>
        <n v="3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</r>
  <r>
    <x v="1"/>
  </r>
  <r>
    <x v="2"/>
  </r>
  <r>
    <x v="3"/>
  </r>
  <r>
    <x v="4"/>
  </r>
  <r>
    <x v="5"/>
  </r>
  <r>
    <x v="6"/>
  </r>
  <r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 diná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A5" firstHeaderRow="1" firstDataRow="1" firstDataCol="1"/>
  <pivotFields count="1">
    <pivotField axis="axisRow" showAll="0">
      <items count="9">
        <item h="1" x="4"/>
        <item h="1" x="5"/>
        <item h="1" x="6"/>
        <item h="1" x="7"/>
        <item h="1" x="2"/>
        <item x="0"/>
        <item h="1" x="1"/>
        <item h="1" x="3"/>
        <item t="default"/>
      </items>
    </pivotField>
  </pivotFields>
  <rowFields count="1">
    <field x="0"/>
  </rowFields>
  <rowItems count="2">
    <i>
      <x v="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3:A5"/>
  <sheetViews>
    <sheetView workbookViewId="0">
      <selection activeCell="A3" sqref="A3"/>
    </sheetView>
  </sheetViews>
  <sheetFormatPr baseColWidth="10" defaultRowHeight="14.4" x14ac:dyDescent="0.3"/>
  <cols>
    <col min="1" max="1" width="24.109375" customWidth="1"/>
  </cols>
  <sheetData>
    <row r="3" spans="1:1" x14ac:dyDescent="0.3">
      <c r="A3" s="51" t="s">
        <v>41</v>
      </c>
    </row>
    <row r="4" spans="1:1" x14ac:dyDescent="0.3">
      <c r="A4" s="52" t="s">
        <v>39</v>
      </c>
    </row>
    <row r="5" spans="1:1" x14ac:dyDescent="0.3">
      <c r="A5" s="52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N34"/>
  <sheetViews>
    <sheetView tabSelected="1" topLeftCell="A7" workbookViewId="0">
      <selection activeCell="H27" sqref="H27"/>
    </sheetView>
  </sheetViews>
  <sheetFormatPr baseColWidth="10" defaultRowHeight="14.4" x14ac:dyDescent="0.3"/>
  <cols>
    <col min="1" max="1" width="11.33203125" customWidth="1"/>
    <col min="2" max="4" width="9" customWidth="1"/>
    <col min="5" max="5" width="11.44140625" customWidth="1"/>
    <col min="6" max="6" width="6.5546875" customWidth="1"/>
    <col min="14" max="14" width="10.33203125" customWidth="1"/>
  </cols>
  <sheetData>
    <row r="1" spans="1:14" x14ac:dyDescent="0.3">
      <c r="A1" s="58" t="s">
        <v>44</v>
      </c>
      <c r="B1" s="58"/>
      <c r="C1" s="58"/>
      <c r="D1" s="58"/>
      <c r="E1" s="58"/>
      <c r="F1" s="58"/>
      <c r="G1" s="58"/>
      <c r="H1" s="58"/>
      <c r="I1" s="58"/>
      <c r="J1" s="58"/>
      <c r="K1" s="41"/>
    </row>
    <row r="2" spans="1:14" x14ac:dyDescent="0.3">
      <c r="A2" s="58"/>
      <c r="B2" s="58"/>
      <c r="C2" s="58"/>
      <c r="D2" s="58"/>
      <c r="E2" s="58"/>
      <c r="F2" s="58"/>
      <c r="G2" s="58"/>
      <c r="H2" s="58"/>
      <c r="I2" s="58"/>
      <c r="J2" s="58"/>
      <c r="K2" s="41"/>
    </row>
    <row r="4" spans="1:14" ht="15.6" x14ac:dyDescent="0.3">
      <c r="A4" s="31" t="s">
        <v>19</v>
      </c>
      <c r="B4" s="1"/>
      <c r="C4" s="1"/>
      <c r="D4" s="1"/>
      <c r="E4" s="11"/>
      <c r="F4" s="3"/>
    </row>
    <row r="5" spans="1:14" x14ac:dyDescent="0.3">
      <c r="A5" s="3" t="s">
        <v>0</v>
      </c>
      <c r="D5" s="4" t="s">
        <v>1</v>
      </c>
      <c r="E5" s="12">
        <v>30</v>
      </c>
    </row>
    <row r="6" spans="1:14" x14ac:dyDescent="0.3">
      <c r="A6" s="5" t="s">
        <v>2</v>
      </c>
      <c r="B6" s="6"/>
      <c r="C6" s="6"/>
      <c r="D6" s="7" t="s">
        <v>1</v>
      </c>
      <c r="E6" s="8">
        <v>1.2</v>
      </c>
    </row>
    <row r="8" spans="1:14" ht="15.6" x14ac:dyDescent="0.3">
      <c r="A8" s="31" t="s">
        <v>20</v>
      </c>
      <c r="B8" s="1"/>
      <c r="C8" s="1"/>
      <c r="D8" s="1"/>
      <c r="E8" s="2"/>
    </row>
    <row r="9" spans="1:14" ht="20.100000000000001" customHeight="1" x14ac:dyDescent="0.3">
      <c r="A9" s="54" t="s">
        <v>43</v>
      </c>
      <c r="B9" s="6"/>
      <c r="C9" s="6"/>
      <c r="D9" s="53" t="s">
        <v>40</v>
      </c>
      <c r="E9" s="50">
        <v>2.5</v>
      </c>
    </row>
    <row r="10" spans="1:14" x14ac:dyDescent="0.3">
      <c r="A10" s="5" t="s">
        <v>4</v>
      </c>
      <c r="B10" s="6"/>
      <c r="C10" s="6"/>
      <c r="D10" s="6"/>
      <c r="E10" s="15">
        <v>4</v>
      </c>
    </row>
    <row r="11" spans="1:14" x14ac:dyDescent="0.3">
      <c r="A11" s="14" t="s">
        <v>5</v>
      </c>
      <c r="B11" s="14" t="s">
        <v>9</v>
      </c>
      <c r="C11" s="13"/>
      <c r="D11" s="13"/>
      <c r="E11" s="12" t="s">
        <v>6</v>
      </c>
    </row>
    <row r="12" spans="1:14" ht="16.2" x14ac:dyDescent="0.3">
      <c r="A12" s="22"/>
      <c r="B12" s="10" t="s">
        <v>1</v>
      </c>
      <c r="C12" s="9" t="s">
        <v>7</v>
      </c>
      <c r="D12" s="23" t="s">
        <v>8</v>
      </c>
      <c r="E12" s="9" t="s">
        <v>3</v>
      </c>
      <c r="N12">
        <f>ATAN(E6/H24)</f>
        <v>0.38050637711236485</v>
      </c>
    </row>
    <row r="13" spans="1:14" x14ac:dyDescent="0.3">
      <c r="A13" s="16">
        <v>1</v>
      </c>
      <c r="B13" s="17">
        <v>2.5</v>
      </c>
      <c r="C13" s="17">
        <v>16.600000000000001</v>
      </c>
      <c r="D13" s="17">
        <v>7</v>
      </c>
      <c r="E13" s="18">
        <v>0</v>
      </c>
    </row>
    <row r="14" spans="1:14" x14ac:dyDescent="0.3">
      <c r="A14" s="55">
        <v>2</v>
      </c>
      <c r="B14" s="56">
        <v>2.5</v>
      </c>
      <c r="C14" s="56">
        <v>18.7</v>
      </c>
      <c r="D14" s="56">
        <v>6</v>
      </c>
      <c r="E14" s="57">
        <v>70</v>
      </c>
    </row>
    <row r="15" spans="1:14" x14ac:dyDescent="0.3">
      <c r="A15" s="55">
        <v>3</v>
      </c>
      <c r="B15" s="56">
        <v>7</v>
      </c>
      <c r="C15" s="56">
        <v>18.8</v>
      </c>
      <c r="D15" s="56">
        <v>9</v>
      </c>
      <c r="E15" s="57">
        <v>62.5</v>
      </c>
    </row>
    <row r="16" spans="1:14" x14ac:dyDescent="0.3">
      <c r="A16" s="19">
        <v>4</v>
      </c>
      <c r="B16" s="20">
        <v>5</v>
      </c>
      <c r="C16" s="20">
        <v>19</v>
      </c>
      <c r="D16" s="20">
        <v>7</v>
      </c>
      <c r="E16" s="21">
        <v>60</v>
      </c>
    </row>
    <row r="17" spans="1:13" x14ac:dyDescent="0.3">
      <c r="A17" s="4"/>
      <c r="B17" s="4"/>
      <c r="C17" s="4"/>
      <c r="D17" s="4"/>
      <c r="E17" s="4"/>
    </row>
    <row r="18" spans="1:13" x14ac:dyDescent="0.3">
      <c r="A18" s="4"/>
      <c r="B18" s="4"/>
      <c r="C18" s="4"/>
      <c r="D18" s="4"/>
      <c r="E18" s="4"/>
    </row>
    <row r="19" spans="1:13" x14ac:dyDescent="0.3">
      <c r="A19" s="4"/>
      <c r="B19" s="4"/>
      <c r="C19" s="4"/>
      <c r="D19" s="4"/>
      <c r="E19" s="4"/>
    </row>
    <row r="20" spans="1:13" ht="12" customHeight="1" x14ac:dyDescent="0.3"/>
    <row r="21" spans="1:13" ht="15.6" x14ac:dyDescent="0.3">
      <c r="A21" s="59" t="s">
        <v>21</v>
      </c>
      <c r="B21" s="60"/>
      <c r="C21" s="60"/>
      <c r="D21" s="60"/>
      <c r="E21" s="61"/>
      <c r="G21" s="31" t="s">
        <v>27</v>
      </c>
      <c r="H21" s="42"/>
      <c r="I21" s="31"/>
      <c r="J21" s="11"/>
      <c r="K21" s="11"/>
      <c r="L21" s="46"/>
      <c r="M21" s="43"/>
    </row>
    <row r="22" spans="1:13" ht="15.6" x14ac:dyDescent="0.35">
      <c r="A22" s="33" t="s">
        <v>17</v>
      </c>
      <c r="B22" s="1"/>
      <c r="C22" s="1"/>
      <c r="D22" s="1"/>
      <c r="E22" s="2"/>
      <c r="G22" s="25" t="s">
        <v>33</v>
      </c>
      <c r="H22" s="44">
        <v>60</v>
      </c>
      <c r="I22" s="13" t="s">
        <v>13</v>
      </c>
      <c r="L22" s="29"/>
    </row>
    <row r="23" spans="1:13" ht="15.6" x14ac:dyDescent="0.35">
      <c r="A23" s="25" t="s">
        <v>10</v>
      </c>
      <c r="B23" s="37">
        <v>6.3893845400283764</v>
      </c>
      <c r="D23" s="35">
        <v>1.6576931688261503</v>
      </c>
      <c r="E23" s="29"/>
      <c r="G23" s="24" t="s">
        <v>35</v>
      </c>
      <c r="H23" s="4">
        <f>ROUNDUP(H22/B33,0)</f>
        <v>1</v>
      </c>
      <c r="I23" s="29"/>
      <c r="L23" s="29"/>
    </row>
    <row r="24" spans="1:13" ht="15.6" x14ac:dyDescent="0.35">
      <c r="A24" s="24" t="s">
        <v>22</v>
      </c>
      <c r="B24" s="38">
        <v>1.5230118501247936</v>
      </c>
      <c r="D24" s="35">
        <v>133.25145318615662</v>
      </c>
      <c r="E24" s="29"/>
      <c r="G24" s="24" t="s">
        <v>28</v>
      </c>
      <c r="H24" s="45">
        <v>3</v>
      </c>
      <c r="I24" s="29" t="s">
        <v>1</v>
      </c>
      <c r="L24" s="29"/>
    </row>
    <row r="25" spans="1:13" ht="16.5" customHeight="1" x14ac:dyDescent="0.35">
      <c r="A25" s="28" t="s">
        <v>11</v>
      </c>
      <c r="B25" s="39">
        <v>0.87813065659485612</v>
      </c>
      <c r="C25" s="26" t="s">
        <v>12</v>
      </c>
      <c r="D25" s="36">
        <v>18.983170875680599</v>
      </c>
      <c r="E25" s="32" t="s">
        <v>13</v>
      </c>
      <c r="G25" s="24" t="s">
        <v>29</v>
      </c>
      <c r="H25" s="45">
        <v>3</v>
      </c>
      <c r="I25" s="29"/>
      <c r="L25" s="29"/>
    </row>
    <row r="26" spans="1:13" x14ac:dyDescent="0.3">
      <c r="G26" s="24" t="s">
        <v>30</v>
      </c>
      <c r="H26" s="45">
        <v>9</v>
      </c>
      <c r="I26" s="29"/>
      <c r="L26" s="29"/>
    </row>
    <row r="27" spans="1:13" x14ac:dyDescent="0.3">
      <c r="A27" s="33" t="s">
        <v>18</v>
      </c>
      <c r="B27" s="1"/>
      <c r="C27" s="1"/>
      <c r="D27" s="1"/>
      <c r="E27" s="2"/>
      <c r="G27" s="28" t="s">
        <v>31</v>
      </c>
      <c r="H27" s="62">
        <f>1-DEGREES(ATAN(E6/H24))*((H26-1)*H25+(H25-1)*H26)/(90*H25*H26)</f>
        <v>0.6231855150507094</v>
      </c>
      <c r="I27" s="30" t="s">
        <v>32</v>
      </c>
      <c r="L27" s="29"/>
    </row>
    <row r="28" spans="1:13" ht="15.6" x14ac:dyDescent="0.35">
      <c r="A28" s="25" t="s">
        <v>14</v>
      </c>
      <c r="B28" s="13">
        <v>0.16400000000000003</v>
      </c>
      <c r="C28" s="27" t="s">
        <v>15</v>
      </c>
      <c r="D28" s="36">
        <v>27.115481785714287</v>
      </c>
      <c r="E28" s="2"/>
      <c r="G28" s="47" t="s">
        <v>34</v>
      </c>
      <c r="L28" s="29"/>
    </row>
    <row r="29" spans="1:13" ht="15.6" x14ac:dyDescent="0.35">
      <c r="A29" s="28" t="s">
        <v>23</v>
      </c>
      <c r="B29" s="30">
        <v>0.62831853071793997</v>
      </c>
      <c r="C29" s="26" t="s">
        <v>16</v>
      </c>
      <c r="D29" s="36">
        <v>238.52023545432689</v>
      </c>
      <c r="E29" s="34" t="s">
        <v>13</v>
      </c>
      <c r="G29" s="49" t="s">
        <v>36</v>
      </c>
      <c r="H29" s="6"/>
      <c r="I29" s="6"/>
      <c r="J29" s="6"/>
      <c r="K29" s="6"/>
      <c r="L29" s="30"/>
    </row>
    <row r="30" spans="1:13" x14ac:dyDescent="0.3">
      <c r="G30" s="48"/>
    </row>
    <row r="31" spans="1:13" x14ac:dyDescent="0.3">
      <c r="A31" s="33" t="s">
        <v>24</v>
      </c>
      <c r="B31" s="1"/>
      <c r="C31" s="1"/>
      <c r="D31" s="1"/>
      <c r="E31" s="2"/>
    </row>
    <row r="32" spans="1:13" ht="15.6" x14ac:dyDescent="0.35">
      <c r="A32" s="24" t="s">
        <v>37</v>
      </c>
      <c r="B32" s="35">
        <f>D25+D29</f>
        <v>257.50340633000746</v>
      </c>
      <c r="C32" t="s">
        <v>13</v>
      </c>
      <c r="D32" t="s">
        <v>25</v>
      </c>
      <c r="E32" s="29"/>
    </row>
    <row r="33" spans="1:8" ht="15.6" x14ac:dyDescent="0.35">
      <c r="A33" s="28" t="s">
        <v>38</v>
      </c>
      <c r="B33" s="40">
        <f>B32/3.5</f>
        <v>73.572401808573559</v>
      </c>
      <c r="C33" s="6" t="s">
        <v>13</v>
      </c>
      <c r="D33" s="6" t="s">
        <v>26</v>
      </c>
      <c r="E33" s="30"/>
      <c r="H33" s="35"/>
    </row>
    <row r="34" spans="1:8" x14ac:dyDescent="0.3">
      <c r="H34" s="35"/>
    </row>
  </sheetData>
  <mergeCells count="2">
    <mergeCell ref="A1:J2"/>
    <mergeCell ref="A21:E21"/>
  </mergeCells>
  <pageMargins left="0.7" right="0.7" top="0.75" bottom="0.75" header="0.3" footer="0.3"/>
  <pageSetup orientation="landscape" horizontalDpi="300" verticalDpi="300" r:id="rId1"/>
  <headerFooter>
    <oddFooter>&amp;LREALIZADO POR: ING. EDISSON AVILA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ComboBox1">
          <controlPr defaultSize="0" autoLine="0" linkedCell="D9" r:id="rId5">
            <anchor moveWithCells="1">
              <from>
                <xdr:col>3</xdr:col>
                <xdr:colOff>60960</xdr:colOff>
                <xdr:row>8</xdr:row>
                <xdr:rowOff>7620</xdr:rowOff>
              </from>
              <to>
                <xdr:col>3</xdr:col>
                <xdr:colOff>556260</xdr:colOff>
                <xdr:row>9</xdr:row>
                <xdr:rowOff>0</xdr:rowOff>
              </to>
            </anchor>
          </controlPr>
        </control>
      </mc:Choice>
      <mc:Fallback>
        <control shapeId="1029" r:id="rId4" name="ComboBox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generarbordes">
            <anchor moveWithCells="1" sizeWithCells="1">
              <from>
                <xdr:col>5</xdr:col>
                <xdr:colOff>45720</xdr:colOff>
                <xdr:row>9</xdr:row>
                <xdr:rowOff>0</xdr:rowOff>
              </from>
              <to>
                <xdr:col>6</xdr:col>
                <xdr:colOff>152400</xdr:colOff>
                <xdr:row>10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micropilotes">
            <anchor moveWithCells="1" sizeWithCells="1">
              <from>
                <xdr:col>5</xdr:col>
                <xdr:colOff>30480</xdr:colOff>
                <xdr:row>15</xdr:row>
                <xdr:rowOff>68580</xdr:rowOff>
              </from>
              <to>
                <xdr:col>6</xdr:col>
                <xdr:colOff>259080</xdr:colOff>
                <xdr:row>16</xdr:row>
                <xdr:rowOff>137160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Edisson</dc:creator>
  <cp:lastModifiedBy>Edisson Oswaldo Avila Redrovan</cp:lastModifiedBy>
  <cp:lastPrinted>2014-10-26T23:42:17Z</cp:lastPrinted>
  <dcterms:created xsi:type="dcterms:W3CDTF">2014-10-18T02:18:24Z</dcterms:created>
  <dcterms:modified xsi:type="dcterms:W3CDTF">2025-05-09T22:53:08Z</dcterms:modified>
</cp:coreProperties>
</file>